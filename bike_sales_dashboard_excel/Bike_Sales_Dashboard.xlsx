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5426c661ea11b08e/Desktop/"/>
    </mc:Choice>
  </mc:AlternateContent>
  <xr:revisionPtr revIDLastSave="0" documentId="8_{69ACD528-3A1F-4F13-A753-BA885E19CF59}" xr6:coauthVersionLast="47" xr6:coauthVersionMax="47" xr10:uidLastSave="{00000000-0000-0000-0000-000000000000}"/>
  <bookViews>
    <workbookView xWindow="-98" yWindow="-98" windowWidth="19396" windowHeight="1159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bike_buyers!$A$1:$M$1027</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4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<sst xmlns="http://schemas.openxmlformats.org/spreadsheetml/2006/main" count="16274" uniqueCount="51">
  <si>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</si>
  <si>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</si>
  <si>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</si>
  <si>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</si>
  <si>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</si>
  <si>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</si>
  <si>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</si>
  <si>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</si>
  <si>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</si>
  <si>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</si>
  <si>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</si>
  <si>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</si>
  <si>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</si>
  <si>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</si>
  <si>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</si>
  <si>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</si>
  <si>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</si>
  <si>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</si>
  <si>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</si>
  <si>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</si>
  <si>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</si>
  <si>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</si>
  <si>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</si>
  <si>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</si>
  <si>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</si>
  <si>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</si>
  <si>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</si>
  <si>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</si>
  <si>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</si>
  <si>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</si>
  <si>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</si>
  <si>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</si>
  <si>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</si>
  <si>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</si>
  <si>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</si>
  <si>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</si>
  <si>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</si>
  <si>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</si>
  <si>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</si>
  <si>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</si>
  <si>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</si>
  <si>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 xml:space="preserve"> </t>
  </si>
  <si>
    <t>Row Labels</t>
  </si>
  <si>
    <t>Grand Total</t>
  </si>
  <si>
    <t>Average of Income</t>
  </si>
  <si>
    <t>Column Labels</t>
  </si>
  <si>
    <t>Count of Purchased Bike</t>
  </si>
  <si>
    <t>More then 10 Miles</t>
  </si>
  <si>
    <t>Middle age</t>
  </si>
  <si>
    <t>Old</t>
  </si>
  <si>
    <t>Bike Sales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</si>
</sst>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409]#,##0.00"/>
    <numFmt numFmtId="170"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249977111117893"/>
      <name val="Calibri"/>
      <family val="2"/>
      <scheme val="minor"/>
    </font>
    <font>
      <b/>
      <sz val="48"/>
      <color theme="0"/>
      <name val="Calibri"/>
      <family val="2"/>
      <charset val="20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2-5 Miles</c:v>
                </c:pt>
                <c:pt idx="3">
                  <c:v>More then 10 Miles</c:v>
                </c:pt>
              </c:strCache>
            </c:strRef>
          </c:cat>
          <c:val>
            <c:numRef>
              <c:f>'Pivot Table'!$B$22:$B$26</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2CED-4711-96CE-10B3EE4AE93F}"/>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Table'!$A$22:$A$26</c:f>
              <c:strCache>
                <c:ptCount val="4"/>
                <c:pt idx="0">
                  <c:v>0-1 Miles</c:v>
                </c:pt>
                <c:pt idx="1">
                  <c:v>1-2 Miles</c:v>
                </c:pt>
                <c:pt idx="2">
                  <c:v>2-5 Miles</c:v>
                </c:pt>
                <c:pt idx="3">
                  <c:v>More then 10 Miles</c:v>
                </c:pt>
              </c:strCache>
            </c:strRef>
          </c:cat>
          <c:val>
            <c:numRef>
              <c:f>'Pivot Table'!$C$22:$C$26</c:f>
              <c:numCache>
                <c:formatCode>General</c:formatCode>
                <c:ptCount val="4"/>
                <c:pt idx="0">
                  <c:v>11</c:v>
                </c:pt>
                <c:pt idx="1">
                  <c:v>2</c:v>
                </c:pt>
              </c:numCache>
            </c:numRef>
          </c:val>
          <c:smooth val="0"/>
          <c:extLst>
            <c:ext xmlns:c16="http://schemas.microsoft.com/office/drawing/2014/chart" uri="{C3380CC4-5D6E-409C-BE32-E72D297353CC}">
              <c16:uniqueId val="{00000001-2CED-4711-96CE-10B3EE4AE93F}"/>
            </c:ext>
          </c:extLst>
        </c:ser>
        <c:dLbls>
          <c:showLegendKey val="0"/>
          <c:showVal val="0"/>
          <c:showCatName val="0"/>
          <c:showSerName val="0"/>
          <c:showPercent val="0"/>
          <c:showBubbleSize val="0"/>
        </c:dLbls>
        <c:marker val="1"/>
        <c:smooth val="0"/>
        <c:axId val="1181214880"/>
        <c:axId val="1089607504"/>
      </c:lineChart>
      <c:catAx>
        <c:axId val="11812148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ru-KZ"/>
          </a:p>
        </c:txPr>
        <c:crossAx val="1089607504"/>
        <c:crosses val="autoZero"/>
        <c:auto val="1"/>
        <c:lblAlgn val="ctr"/>
        <c:lblOffset val="100"/>
        <c:noMultiLvlLbl val="0"/>
      </c:catAx>
      <c:valAx>
        <c:axId val="10896075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ru-KZ"/>
          </a:p>
        </c:txPr>
        <c:crossAx val="118121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ru-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4</c:v>
                </c:pt>
                <c:pt idx="1">
                  <c:v>3</c:v>
                </c:pt>
              </c:numCache>
            </c:numRef>
          </c:val>
          <c:smooth val="0"/>
          <c:extLst>
            <c:ext xmlns:c16="http://schemas.microsoft.com/office/drawing/2014/chart" uri="{C3380CC4-5D6E-409C-BE32-E72D297353CC}">
              <c16:uniqueId val="{00000000-8AB7-42B1-9271-22D87A6D3EA7}"/>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12</c:v>
                </c:pt>
                <c:pt idx="1">
                  <c:v>1</c:v>
                </c:pt>
              </c:numCache>
            </c:numRef>
          </c:val>
          <c:smooth val="0"/>
          <c:extLst>
            <c:ext xmlns:c16="http://schemas.microsoft.com/office/drawing/2014/chart" uri="{C3380CC4-5D6E-409C-BE32-E72D297353CC}">
              <c16:uniqueId val="{00000001-8AB7-42B1-9271-22D87A6D3EA7}"/>
            </c:ext>
          </c:extLst>
        </c:ser>
        <c:dLbls>
          <c:showLegendKey val="0"/>
          <c:showVal val="0"/>
          <c:showCatName val="0"/>
          <c:showSerName val="0"/>
          <c:showPercent val="0"/>
          <c:showBubbleSize val="0"/>
        </c:dLbls>
        <c:marker val="1"/>
        <c:smooth val="0"/>
        <c:axId val="1253021728"/>
        <c:axId val="1253022208"/>
      </c:lineChart>
      <c:catAx>
        <c:axId val="125302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Axge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253022208"/>
        <c:crosses val="autoZero"/>
        <c:auto val="1"/>
        <c:lblAlgn val="ctr"/>
        <c:lblOffset val="100"/>
        <c:noMultiLvlLbl val="0"/>
      </c:catAx>
      <c:valAx>
        <c:axId val="125302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25302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66666.666666666672</c:v>
                </c:pt>
                <c:pt idx="1">
                  <c:v>22500</c:v>
                </c:pt>
              </c:numCache>
            </c:numRef>
          </c:val>
          <c:extLst>
            <c:ext xmlns:c16="http://schemas.microsoft.com/office/drawing/2014/chart" uri="{C3380CC4-5D6E-409C-BE32-E72D297353CC}">
              <c16:uniqueId val="{00000000-C723-4B0F-89DA-BD9B4A9DA8E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35000</c:v>
                </c:pt>
                <c:pt idx="1">
                  <c:v>33333.333333333336</c:v>
                </c:pt>
              </c:numCache>
            </c:numRef>
          </c:val>
          <c:extLst>
            <c:ext xmlns:c16="http://schemas.microsoft.com/office/drawing/2014/chart" uri="{C3380CC4-5D6E-409C-BE32-E72D297353CC}">
              <c16:uniqueId val="{00000001-C723-4B0F-89DA-BD9B4A9DA8ED}"/>
            </c:ext>
          </c:extLst>
        </c:ser>
        <c:dLbls>
          <c:showLegendKey val="0"/>
          <c:showVal val="0"/>
          <c:showCatName val="0"/>
          <c:showSerName val="0"/>
          <c:showPercent val="0"/>
          <c:showBubbleSize val="0"/>
        </c:dLbls>
        <c:gapWidth val="219"/>
        <c:overlap val="-27"/>
        <c:axId val="1722692736"/>
        <c:axId val="1722693216"/>
      </c:barChart>
      <c:catAx>
        <c:axId val="172269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K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722693216"/>
        <c:crosses val="autoZero"/>
        <c:auto val="1"/>
        <c:lblAlgn val="ctr"/>
        <c:lblOffset val="100"/>
        <c:noMultiLvlLbl val="0"/>
      </c:catAx>
      <c:valAx>
        <c:axId val="172269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Imcome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KZ"/>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722692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ru-KZ"/>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K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66666.666666666672</c:v>
                </c:pt>
                <c:pt idx="1">
                  <c:v>22500</c:v>
                </c:pt>
              </c:numCache>
            </c:numRef>
          </c:val>
          <c:extLst>
            <c:ext xmlns:c16="http://schemas.microsoft.com/office/drawing/2014/chart" uri="{C3380CC4-5D6E-409C-BE32-E72D297353CC}">
              <c16:uniqueId val="{00000000-91FC-4278-A8EC-3BBFF63D7F6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35000</c:v>
                </c:pt>
                <c:pt idx="1">
                  <c:v>33333.333333333336</c:v>
                </c:pt>
              </c:numCache>
            </c:numRef>
          </c:val>
          <c:extLst>
            <c:ext xmlns:c16="http://schemas.microsoft.com/office/drawing/2014/chart" uri="{C3380CC4-5D6E-409C-BE32-E72D297353CC}">
              <c16:uniqueId val="{00000001-91FC-4278-A8EC-3BBFF63D7F6F}"/>
            </c:ext>
          </c:extLst>
        </c:ser>
        <c:dLbls>
          <c:dLblPos val="outEnd"/>
          <c:showLegendKey val="0"/>
          <c:showVal val="0"/>
          <c:showCatName val="0"/>
          <c:showSerName val="0"/>
          <c:showPercent val="0"/>
          <c:showBubbleSize val="0"/>
        </c:dLbls>
        <c:gapWidth val="219"/>
        <c:overlap val="-27"/>
        <c:axId val="1722692736"/>
        <c:axId val="1722693216"/>
      </c:barChart>
      <c:catAx>
        <c:axId val="1722692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K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722693216"/>
        <c:crosses val="autoZero"/>
        <c:auto val="1"/>
        <c:lblAlgn val="ctr"/>
        <c:lblOffset val="100"/>
        <c:noMultiLvlLbl val="0"/>
      </c:catAx>
      <c:valAx>
        <c:axId val="172269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Imcome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KZ"/>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722692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ru-KZ"/>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KZ"/>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1-2 Miles</c:v>
                </c:pt>
                <c:pt idx="2">
                  <c:v>2-5 Miles</c:v>
                </c:pt>
                <c:pt idx="3">
                  <c:v>More then 10 Miles</c:v>
                </c:pt>
              </c:strCache>
            </c:strRef>
          </c:cat>
          <c:val>
            <c:numRef>
              <c:f>'Pivot Table'!$B$22:$B$26</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8E83-4908-8B01-6EF026C0461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0-1 Miles</c:v>
                </c:pt>
                <c:pt idx="1">
                  <c:v>1-2 Miles</c:v>
                </c:pt>
                <c:pt idx="2">
                  <c:v>2-5 Miles</c:v>
                </c:pt>
                <c:pt idx="3">
                  <c:v>More then 10 Miles</c:v>
                </c:pt>
              </c:strCache>
            </c:strRef>
          </c:cat>
          <c:val>
            <c:numRef>
              <c:f>'Pivot Table'!$C$22:$C$26</c:f>
              <c:numCache>
                <c:formatCode>General</c:formatCode>
                <c:ptCount val="4"/>
                <c:pt idx="0">
                  <c:v>11</c:v>
                </c:pt>
                <c:pt idx="1">
                  <c:v>2</c:v>
                </c:pt>
              </c:numCache>
            </c:numRef>
          </c:val>
          <c:smooth val="0"/>
          <c:extLst>
            <c:ext xmlns:c16="http://schemas.microsoft.com/office/drawing/2014/chart" uri="{C3380CC4-5D6E-409C-BE32-E72D297353CC}">
              <c16:uniqueId val="{00000001-8E83-4908-8B01-6EF026C04615}"/>
            </c:ext>
          </c:extLst>
        </c:ser>
        <c:dLbls>
          <c:showLegendKey val="0"/>
          <c:showVal val="0"/>
          <c:showCatName val="0"/>
          <c:showSerName val="0"/>
          <c:showPercent val="0"/>
          <c:showBubbleSize val="0"/>
        </c:dLbls>
        <c:smooth val="0"/>
        <c:axId val="1181214880"/>
        <c:axId val="1089607504"/>
      </c:lineChart>
      <c:catAx>
        <c:axId val="118121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K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089607504"/>
        <c:crosses val="autoZero"/>
        <c:auto val="1"/>
        <c:lblAlgn val="ctr"/>
        <c:lblOffset val="100"/>
        <c:noMultiLvlLbl val="0"/>
      </c:catAx>
      <c:valAx>
        <c:axId val="108960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18121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KZ"/>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Table'!$A$43:$A$45</c:f>
              <c:strCache>
                <c:ptCount val="2"/>
                <c:pt idx="0">
                  <c:v>Middle age</c:v>
                </c:pt>
                <c:pt idx="1">
                  <c:v>Old</c:v>
                </c:pt>
              </c:strCache>
            </c:strRef>
          </c:cat>
          <c:val>
            <c:numRef>
              <c:f>'Pivot Table'!$B$43:$B$45</c:f>
              <c:numCache>
                <c:formatCode>General</c:formatCode>
                <c:ptCount val="2"/>
                <c:pt idx="0">
                  <c:v>4</c:v>
                </c:pt>
                <c:pt idx="1">
                  <c:v>3</c:v>
                </c:pt>
              </c:numCache>
            </c:numRef>
          </c:val>
          <c:smooth val="0"/>
          <c:extLst>
            <c:ext xmlns:c16="http://schemas.microsoft.com/office/drawing/2014/chart" uri="{C3380CC4-5D6E-409C-BE32-E72D297353CC}">
              <c16:uniqueId val="{00000000-5480-46B6-B1CB-431DDA5DD97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Table'!$A$43:$A$45</c:f>
              <c:strCache>
                <c:ptCount val="2"/>
                <c:pt idx="0">
                  <c:v>Middle age</c:v>
                </c:pt>
                <c:pt idx="1">
                  <c:v>Old</c:v>
                </c:pt>
              </c:strCache>
            </c:strRef>
          </c:cat>
          <c:val>
            <c:numRef>
              <c:f>'Pivot Table'!$C$43:$C$45</c:f>
              <c:numCache>
                <c:formatCode>General</c:formatCode>
                <c:ptCount val="2"/>
                <c:pt idx="0">
                  <c:v>12</c:v>
                </c:pt>
                <c:pt idx="1">
                  <c:v>1</c:v>
                </c:pt>
              </c:numCache>
            </c:numRef>
          </c:val>
          <c:smooth val="0"/>
          <c:extLst>
            <c:ext xmlns:c16="http://schemas.microsoft.com/office/drawing/2014/chart" uri="{C3380CC4-5D6E-409C-BE32-E72D297353CC}">
              <c16:uniqueId val="{00000001-5480-46B6-B1CB-431DDA5DD97B}"/>
            </c:ext>
          </c:extLst>
        </c:ser>
        <c:dLbls>
          <c:showLegendKey val="0"/>
          <c:showVal val="0"/>
          <c:showCatName val="0"/>
          <c:showSerName val="0"/>
          <c:showPercent val="0"/>
          <c:showBubbleSize val="0"/>
        </c:dLbls>
        <c:marker val="1"/>
        <c:smooth val="0"/>
        <c:axId val="1253021728"/>
        <c:axId val="1253022208"/>
      </c:lineChart>
      <c:catAx>
        <c:axId val="125302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Axge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K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253022208"/>
        <c:crosses val="autoZero"/>
        <c:auto val="1"/>
        <c:lblAlgn val="ctr"/>
        <c:lblOffset val="100"/>
        <c:noMultiLvlLbl val="0"/>
      </c:catAx>
      <c:valAx>
        <c:axId val="125302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25302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270304</xdr:colOff>
      <xdr:row>20</xdr:row>
      <xdr:rowOff>6307</xdr:rowOff>
    </xdr:from>
    <xdr:to>
      <xdr:col>15</xdr:col>
      <xdr:colOff>12871</xdr:colOff>
      <xdr:row>35</xdr:row>
      <xdr:rowOff>34882</xdr:rowOff>
    </xdr:to>
    <xdr:graphicFrame macro="">
      <xdr:nvGraphicFramePr>
        <xdr:cNvPr id="3" name="Chart 2">
          <a:extLst>
            <a:ext uri="{FF2B5EF4-FFF2-40B4-BE49-F238E27FC236}">
              <a16:creationId xmlns:a16="http://schemas.microsoft.com/office/drawing/2014/main" id="{DE122468-CE58-4D06-BD76-043765505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618610</xdr:colOff>
      <xdr:row>5</xdr:row>
      <xdr:rowOff>6435</xdr:rowOff>
    </xdr:from>
    <xdr:to>
      <xdr:col>14</xdr:col>
      <xdr:colOff>650017</xdr:colOff>
      <xdr:row>19</xdr:row>
      <xdr:rowOff>173767</xdr:rowOff>
    </xdr:to>
    <xdr:graphicFrame macro="">
      <xdr:nvGraphicFramePr>
        <xdr:cNvPr id="4" name="Chart 3">
          <a:extLst>
            <a:ext uri="{FF2B5EF4-FFF2-40B4-BE49-F238E27FC236}">
              <a16:creationId xmlns:a16="http://schemas.microsoft.com/office/drawing/2014/main" id="{D90A8638-4256-44B3-906F-4FBF37E9E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263868</xdr:colOff>
      <xdr:row>5</xdr:row>
      <xdr:rowOff>2058</xdr:rowOff>
    </xdr:from>
    <xdr:to>
      <xdr:col>8</xdr:col>
      <xdr:colOff>568797</xdr:colOff>
      <xdr:row>20</xdr:row>
      <xdr:rowOff>6436</xdr:rowOff>
    </xdr:to>
    <xdr:graphicFrame macro="">
      <xdr:nvGraphicFramePr>
        <xdr:cNvPr id="10" name="Chart 9">
          <a:extLst>
            <a:ext uri="{FF2B5EF4-FFF2-40B4-BE49-F238E27FC236}">
              <a16:creationId xmlns:a16="http://schemas.microsoft.com/office/drawing/2014/main" id="{F5BCC151-C9FF-49FA-921F-3AE0D50F2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10554</xdr:rowOff>
    </xdr:from>
    <xdr:to>
      <xdr:col>2</xdr:col>
      <xdr:colOff>238125</xdr:colOff>
      <xdr:row>10</xdr:row>
      <xdr:rowOff>64359</xdr:rowOff>
    </xdr:to>
    <mc:AlternateContent xmlns:mc="http://schemas.openxmlformats.org/markup-compatibility/2006">
      <mc:Choice xmlns:a14="http://schemas.microsoft.com/office/drawing/2010/main" Requires="a14">
        <xdr:graphicFrame macro="">
          <xdr:nvGraphicFramePr>
            <xdr:cNvPr id="11" name="Marital Status">
              <a:extLst>
                <a:ext uri="{FF2B5EF4-FFF2-40B4-BE49-F238E27FC236}">
                  <a16:creationId xmlns:a16="http://schemas.microsoft.com/office/drawing/2014/main" id="{135F1278-E57E-224B-591D-C35163219CE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11568"/>
              <a:ext cx="1538159" cy="954818"/>
            </a:xfrm>
            <a:prstGeom prst="rect">
              <a:avLst/>
            </a:prstGeom>
            <a:solidFill>
              <a:prstClr val="white"/>
            </a:solidFill>
            <a:ln w="1">
              <a:solidFill>
                <a:prstClr val="green"/>
              </a:solidFill>
            </a:ln>
          </xdr:spPr>
          <xdr:txBody>
            <a:bodyPr vertOverflow="clip" horzOverflow="clip"/>
            <a:lstStyle/>
            <a:p>
              <a:r>
                <a:rPr lang="ru-K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0</xdr:rowOff>
    </xdr:from>
    <xdr:to>
      <xdr:col>2</xdr:col>
      <xdr:colOff>244561</xdr:colOff>
      <xdr:row>27</xdr:row>
      <xdr:rowOff>32179</xdr:rowOff>
    </xdr:to>
    <mc:AlternateContent xmlns:mc="http://schemas.openxmlformats.org/markup-compatibility/2006">
      <mc:Choice xmlns:a14="http://schemas.microsoft.com/office/drawing/2010/main" Requires="a14">
        <xdr:graphicFrame macro="">
          <xdr:nvGraphicFramePr>
            <xdr:cNvPr id="12" name="Education">
              <a:extLst>
                <a:ext uri="{FF2B5EF4-FFF2-40B4-BE49-F238E27FC236}">
                  <a16:creationId xmlns:a16="http://schemas.microsoft.com/office/drawing/2014/main" id="{35547F44-8216-900C-CAEA-16A4A07D87F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063446"/>
              <a:ext cx="1544595" cy="1834206"/>
            </a:xfrm>
            <a:prstGeom prst="rect">
              <a:avLst/>
            </a:prstGeom>
            <a:solidFill>
              <a:prstClr val="white"/>
            </a:solidFill>
            <a:ln w="1">
              <a:solidFill>
                <a:prstClr val="green"/>
              </a:solidFill>
            </a:ln>
          </xdr:spPr>
          <xdr:txBody>
            <a:bodyPr vertOverflow="clip" horzOverflow="clip"/>
            <a:lstStyle/>
            <a:p>
              <a:r>
                <a:rPr lang="ru-K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70795</xdr:rowOff>
    </xdr:from>
    <xdr:to>
      <xdr:col>2</xdr:col>
      <xdr:colOff>250996</xdr:colOff>
      <xdr:row>17</xdr:row>
      <xdr:rowOff>0</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E4567B05-15BA-6B43-5D32-3417FA6793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872822"/>
              <a:ext cx="1551030" cy="1190624"/>
            </a:xfrm>
            <a:prstGeom prst="rect">
              <a:avLst/>
            </a:prstGeom>
            <a:solidFill>
              <a:prstClr val="white"/>
            </a:solidFill>
            <a:ln w="1">
              <a:solidFill>
                <a:prstClr val="green"/>
              </a:solidFill>
            </a:ln>
          </xdr:spPr>
          <xdr:txBody>
            <a:bodyPr vertOverflow="clip" horzOverflow="clip"/>
            <a:lstStyle/>
            <a:p>
              <a:r>
                <a:rPr lang="ru-K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326230</xdr:colOff>
      <xdr:row>0</xdr:row>
      <xdr:rowOff>71438</xdr:rowOff>
    </xdr:from>
    <xdr:to>
      <xdr:col>12</xdr:col>
      <xdr:colOff>364330</xdr:colOff>
      <xdr:row>15</xdr:row>
      <xdr:rowOff>100013</xdr:rowOff>
    </xdr:to>
    <xdr:graphicFrame macro="">
      <xdr:nvGraphicFramePr>
        <xdr:cNvPr id="2" name="Chart 1">
          <a:extLst>
            <a:ext uri="{FF2B5EF4-FFF2-40B4-BE49-F238E27FC236}">
              <a16:creationId xmlns:a16="http://schemas.microsoft.com/office/drawing/2014/main" id="{0C22F952-C021-FE03-1FB2-2E35C7400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645318</xdr:colOff>
      <xdr:row>19</xdr:row>
      <xdr:rowOff>4762</xdr:rowOff>
    </xdr:from>
    <xdr:to>
      <xdr:col>12</xdr:col>
      <xdr:colOff>35718</xdr:colOff>
      <xdr:row>34</xdr:row>
      <xdr:rowOff>33337</xdr:rowOff>
    </xdr:to>
    <xdr:graphicFrame macro="">
      <xdr:nvGraphicFramePr>
        <xdr:cNvPr id="3" name="Chart 2">
          <a:extLst>
            <a:ext uri="{FF2B5EF4-FFF2-40B4-BE49-F238E27FC236}">
              <a16:creationId xmlns:a16="http://schemas.microsoft.com/office/drawing/2014/main" id="{1A5F07E7-1509-BB28-ED63-111A004C8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11906</xdr:colOff>
      <xdr:row>40</xdr:row>
      <xdr:rowOff>0</xdr:rowOff>
    </xdr:from>
    <xdr:to>
      <xdr:col>12</xdr:col>
      <xdr:colOff>50006</xdr:colOff>
      <xdr:row>55</xdr:row>
      <xdr:rowOff>28575</xdr:rowOff>
    </xdr:to>
    <xdr:graphicFrame macro="">
      <xdr:nvGraphicFramePr>
        <xdr:cNvPr id="4" name="Chart 3">
          <a:extLst>
            <a:ext uri="{FF2B5EF4-FFF2-40B4-BE49-F238E27FC236}">
              <a16:creationId xmlns:a16="http://schemas.microsoft.com/office/drawing/2014/main" id="{5FBA1824-F370-F7B4-776B-FE4648040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ДАРЬЯ ИВАЙКИНА" refreshedDate="46123.684041782406" createdVersion="8" refreshedVersion="8" minRefreshableVersion="3" recordCount="1000" xr:uid="{F0AA2771-FBE9-44F4-9FC9-B9FDD4960AC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e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48758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7F19F-51C1-41F0-A049-1CA9489466E3}"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8:D73"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4">
    <i>
      <x v="11"/>
    </i>
    <i>
      <x v="12"/>
    </i>
    <i>
      <x v="13"/>
    </i>
    <i>
      <x v="14"/>
    </i>
    <i>
      <x v="15"/>
    </i>
    <i>
      <x v="21"/>
    </i>
    <i>
      <x v="22"/>
    </i>
    <i>
      <x v="23"/>
    </i>
    <i>
      <x v="26"/>
    </i>
    <i>
      <x v="28"/>
    </i>
    <i>
      <x v="37"/>
    </i>
    <i>
      <x v="38"/>
    </i>
    <i>
      <x v="43"/>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A6FDE3-B8BC-455F-9F45-AD072E189266}"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5"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794884-B5F9-41F5-AA59-992004E95EF3}"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6"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BA8BC5-B9DB-4273-9572-A8A73E2872C2}"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13">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0"/>
          </reference>
        </references>
      </pivotArea>
    </chartFormat>
    <chartFormat chart="10" format="11" series="1">
      <pivotArea type="data" outline="0" fieldPosition="0">
        <references count="2">
          <reference field="4294967294" count="1" selected="0">
            <x v="0"/>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E3A804E-592C-467D-ACA6-A906B999AFB0}" sourceName="Marital Status">
  <pivotTables>
    <pivotTable tabId="3" name="PivotTable1"/>
    <pivotTable tabId="3" name="PivotTable2"/>
    <pivotTable tabId="3" name="PivotTable3"/>
    <pivotTable tabId="3" name="PivotTable4"/>
  </pivotTables>
  <data>
    <tabular pivotCacheId="174875815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23980B5-140D-4518-BA0B-ACDECDB4928B}" sourceName="Education">
  <pivotTables>
    <pivotTable tabId="3" name="PivotTable1"/>
    <pivotTable tabId="3" name="PivotTable2"/>
    <pivotTable tabId="3" name="PivotTable3"/>
    <pivotTable tabId="3" name="PivotTable4"/>
  </pivotTables>
  <data>
    <tabular pivotCacheId="1748758157">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500232-E85A-4DF6-8BE7-8C0A31759F3C}" sourceName="Region">
  <pivotTables>
    <pivotTable tabId="3" name="PivotTable1"/>
    <pivotTable tabId="3" name="PivotTable2"/>
    <pivotTable tabId="3" name="PivotTable3"/>
    <pivotTable tabId="3" name="PivotTable4"/>
  </pivotTables>
  <data>
    <tabular pivotCacheId="174875815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30C45C1-D301-4050-81F1-DCD3DD5FE436}" cache="Slicer_Marital_Status" caption="Marital Status" rowHeight="241300"/>
  <slicer name="Education" xr10:uid="{1CEBF168-54A7-4495-9166-86CBB664A5F8}" cache="Slicer_Education" caption="Education" rowHeight="241300"/>
  <slicer name="Region" xr10:uid="{B00CF804-F786-49A9-AEFF-B24B0A856C68}"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6328125" defaultRowHeight="14.25" x14ac:dyDescent="0.45"/>
  <cols>
    <col min="13" max="13" width="15.464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007BA-3A8E-4870-BBE0-8A9DF8C28118}">
  <dimension ref="A1:T16"/>
  <sheetViews>
    <sheetView showGridLines="0" tabSelected="1" zoomScale="74" zoomScaleNormal="74" workbookViewId="0">
      <selection activeCell="T16" sqref="T16"/>
    </sheetView>
  </sheetViews>
  <sheetFormatPr defaultRowHeight="14.25" x14ac:dyDescent="0.45"/>
  <sheetData>
    <row r="1" spans="1:20" x14ac:dyDescent="0.45">
      <c r="A1" s="8" t="s">
        <v>50</v>
      </c>
      <c r="B1" s="9"/>
      <c r="C1" s="9"/>
      <c r="D1" s="9"/>
      <c r="E1" s="9"/>
      <c r="F1" s="9"/>
      <c r="G1" s="9"/>
      <c r="H1" s="9"/>
      <c r="I1" s="9"/>
      <c r="J1" s="9"/>
      <c r="K1" s="9"/>
      <c r="L1" s="9"/>
      <c r="M1" s="9"/>
      <c r="N1" s="9"/>
      <c r="O1" s="9"/>
    </row>
    <row r="2" spans="1:20" x14ac:dyDescent="0.45">
      <c r="A2" s="9"/>
      <c r="B2" s="9"/>
      <c r="C2" s="9"/>
      <c r="D2" s="9"/>
      <c r="E2" s="9"/>
      <c r="F2" s="9"/>
      <c r="G2" s="9"/>
      <c r="H2" s="9"/>
      <c r="I2" s="9"/>
      <c r="J2" s="9"/>
      <c r="K2" s="9"/>
      <c r="L2" s="9"/>
      <c r="M2" s="9"/>
      <c r="N2" s="9"/>
      <c r="O2" s="9"/>
    </row>
    <row r="3" spans="1:20" x14ac:dyDescent="0.45">
      <c r="A3" s="9"/>
      <c r="B3" s="9"/>
      <c r="C3" s="9"/>
      <c r="D3" s="9"/>
      <c r="E3" s="9"/>
      <c r="F3" s="9"/>
      <c r="G3" s="9"/>
      <c r="H3" s="9"/>
      <c r="I3" s="9"/>
      <c r="J3" s="9"/>
      <c r="K3" s="9"/>
      <c r="L3" s="9"/>
      <c r="M3" s="9"/>
      <c r="N3" s="9"/>
      <c r="O3" s="9"/>
    </row>
    <row r="4" spans="1:20" x14ac:dyDescent="0.45">
      <c r="A4" s="9"/>
      <c r="B4" s="9"/>
      <c r="C4" s="9"/>
      <c r="D4" s="9"/>
      <c r="E4" s="9"/>
      <c r="F4" s="9"/>
      <c r="G4" s="9"/>
      <c r="H4" s="9"/>
      <c r="I4" s="9"/>
      <c r="J4" s="9"/>
      <c r="K4" s="9"/>
      <c r="L4" s="9"/>
      <c r="M4" s="9"/>
      <c r="N4" s="9"/>
      <c r="O4" s="9"/>
    </row>
    <row r="5" spans="1:20" x14ac:dyDescent="0.45">
      <c r="A5" s="9"/>
      <c r="B5" s="9"/>
      <c r="C5" s="9"/>
      <c r="D5" s="9"/>
      <c r="E5" s="9"/>
      <c r="F5" s="9"/>
      <c r="G5" s="9"/>
      <c r="H5" s="9"/>
      <c r="I5" s="9"/>
      <c r="J5" s="9"/>
      <c r="K5" s="9"/>
      <c r="L5" s="9"/>
      <c r="M5" s="9"/>
      <c r="N5" s="9"/>
      <c r="O5" s="9"/>
    </row>
    <row r="16" spans="1:20" x14ac:dyDescent="0.45">
      <c r="T16" t="s">
        <v>41</v>
      </c>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6A88-6A8F-4457-9A7F-44EBF71905D0}">
  <dimension ref="A1:D73"/>
  <sheetViews>
    <sheetView workbookViewId="0">
      <selection activeCell="D44" sqref="D44"/>
    </sheetView>
  </sheetViews>
  <sheetFormatPr defaultRowHeight="14.25" x14ac:dyDescent="0.45"/>
  <cols>
    <col min="1" max="1" width="20.6640625" bestFit="1" customWidth="1"/>
    <col min="2" max="2" width="14.73046875" bestFit="1" customWidth="1"/>
    <col min="3" max="3" width="3.53125" bestFit="1" customWidth="1"/>
    <col min="4" max="4" width="10.19921875" bestFit="1" customWidth="1"/>
  </cols>
  <sheetData>
    <row r="1" spans="1:4" x14ac:dyDescent="0.45">
      <c r="A1" t="s">
        <v>41</v>
      </c>
    </row>
    <row r="3" spans="1:4" x14ac:dyDescent="0.45">
      <c r="A3" s="4" t="s">
        <v>44</v>
      </c>
      <c r="B3" s="4" t="s">
        <v>45</v>
      </c>
    </row>
    <row r="4" spans="1:4" x14ac:dyDescent="0.45">
      <c r="A4" s="4" t="s">
        <v>42</v>
      </c>
      <c r="B4" t="s">
        <v>18</v>
      </c>
      <c r="C4" t="s">
        <v>15</v>
      </c>
      <c r="D4" t="s">
        <v>43</v>
      </c>
    </row>
    <row r="5" spans="1:4" x14ac:dyDescent="0.45">
      <c r="A5" s="5" t="s">
        <v>39</v>
      </c>
      <c r="B5" s="6">
        <v>66666.666666666672</v>
      </c>
      <c r="C5" s="6">
        <v>35000</v>
      </c>
      <c r="D5" s="6">
        <v>48571.428571428572</v>
      </c>
    </row>
    <row r="6" spans="1:4" x14ac:dyDescent="0.45">
      <c r="A6" s="5" t="s">
        <v>38</v>
      </c>
      <c r="B6" s="6">
        <v>22500</v>
      </c>
      <c r="C6" s="6">
        <v>33333.333333333336</v>
      </c>
      <c r="D6" s="6">
        <v>30000</v>
      </c>
    </row>
    <row r="7" spans="1:4" x14ac:dyDescent="0.45">
      <c r="A7" s="5" t="s">
        <v>43</v>
      </c>
      <c r="B7" s="6">
        <v>41428.571428571428</v>
      </c>
      <c r="C7" s="6">
        <v>33846.153846153844</v>
      </c>
      <c r="D7" s="6">
        <v>36500</v>
      </c>
    </row>
    <row r="20" spans="1:4" x14ac:dyDescent="0.45">
      <c r="A20" s="4" t="s">
        <v>46</v>
      </c>
      <c r="B20" s="4" t="s">
        <v>45</v>
      </c>
    </row>
    <row r="21" spans="1:4" x14ac:dyDescent="0.45">
      <c r="A21" s="4" t="s">
        <v>42</v>
      </c>
      <c r="B21" t="s">
        <v>18</v>
      </c>
      <c r="C21" t="s">
        <v>15</v>
      </c>
      <c r="D21" t="s">
        <v>43</v>
      </c>
    </row>
    <row r="22" spans="1:4" x14ac:dyDescent="0.45">
      <c r="A22" s="5" t="s">
        <v>16</v>
      </c>
      <c r="B22" s="7">
        <v>3</v>
      </c>
      <c r="C22" s="7">
        <v>11</v>
      </c>
      <c r="D22" s="7">
        <v>14</v>
      </c>
    </row>
    <row r="23" spans="1:4" x14ac:dyDescent="0.45">
      <c r="A23" s="5" t="s">
        <v>26</v>
      </c>
      <c r="B23" s="7">
        <v>1</v>
      </c>
      <c r="C23" s="7">
        <v>2</v>
      </c>
      <c r="D23" s="7">
        <v>3</v>
      </c>
    </row>
    <row r="24" spans="1:4" x14ac:dyDescent="0.45">
      <c r="A24" s="5" t="s">
        <v>22</v>
      </c>
      <c r="B24" s="7">
        <v>1</v>
      </c>
      <c r="C24" s="7"/>
      <c r="D24" s="7">
        <v>1</v>
      </c>
    </row>
    <row r="25" spans="1:4" x14ac:dyDescent="0.45">
      <c r="A25" s="5" t="s">
        <v>47</v>
      </c>
      <c r="B25" s="7">
        <v>2</v>
      </c>
      <c r="C25" s="7"/>
      <c r="D25" s="7">
        <v>2</v>
      </c>
    </row>
    <row r="26" spans="1:4" x14ac:dyDescent="0.45">
      <c r="A26" s="5" t="s">
        <v>43</v>
      </c>
      <c r="B26" s="7">
        <v>7</v>
      </c>
      <c r="C26" s="7">
        <v>13</v>
      </c>
      <c r="D26" s="7">
        <v>20</v>
      </c>
    </row>
    <row r="41" spans="1:4" x14ac:dyDescent="0.45">
      <c r="A41" s="4" t="s">
        <v>46</v>
      </c>
      <c r="B41" s="4" t="s">
        <v>45</v>
      </c>
    </row>
    <row r="42" spans="1:4" x14ac:dyDescent="0.45">
      <c r="A42" s="4" t="s">
        <v>42</v>
      </c>
      <c r="B42" t="s">
        <v>18</v>
      </c>
      <c r="C42" t="s">
        <v>15</v>
      </c>
      <c r="D42" t="s">
        <v>43</v>
      </c>
    </row>
    <row r="43" spans="1:4" x14ac:dyDescent="0.45">
      <c r="A43" s="5" t="s">
        <v>48</v>
      </c>
      <c r="B43" s="7">
        <v>4</v>
      </c>
      <c r="C43" s="7">
        <v>12</v>
      </c>
      <c r="D43" s="7">
        <v>16</v>
      </c>
    </row>
    <row r="44" spans="1:4" x14ac:dyDescent="0.45">
      <c r="A44" s="5" t="s">
        <v>49</v>
      </c>
      <c r="B44" s="7">
        <v>3</v>
      </c>
      <c r="C44" s="7">
        <v>1</v>
      </c>
      <c r="D44" s="7">
        <v>4</v>
      </c>
    </row>
    <row r="45" spans="1:4" x14ac:dyDescent="0.45">
      <c r="A45" s="5" t="s">
        <v>43</v>
      </c>
      <c r="B45" s="7">
        <v>7</v>
      </c>
      <c r="C45" s="7">
        <v>13</v>
      </c>
      <c r="D45" s="7">
        <v>20</v>
      </c>
    </row>
    <row r="58" spans="1:4" x14ac:dyDescent="0.45">
      <c r="A58" s="4" t="s">
        <v>46</v>
      </c>
      <c r="B58" s="4" t="s">
        <v>45</v>
      </c>
    </row>
    <row r="59" spans="1:4" x14ac:dyDescent="0.45">
      <c r="A59" s="4" t="s">
        <v>42</v>
      </c>
      <c r="B59" t="s">
        <v>18</v>
      </c>
      <c r="C59" t="s">
        <v>15</v>
      </c>
      <c r="D59" t="s">
        <v>43</v>
      </c>
    </row>
    <row r="60" spans="1:4" x14ac:dyDescent="0.45">
      <c r="A60" s="5">
        <v>36</v>
      </c>
      <c r="B60" s="7"/>
      <c r="C60" s="7">
        <v>1</v>
      </c>
      <c r="D60" s="7">
        <v>1</v>
      </c>
    </row>
    <row r="61" spans="1:4" x14ac:dyDescent="0.45">
      <c r="A61" s="5">
        <v>37</v>
      </c>
      <c r="B61" s="7"/>
      <c r="C61" s="7">
        <v>1</v>
      </c>
      <c r="D61" s="7">
        <v>1</v>
      </c>
    </row>
    <row r="62" spans="1:4" x14ac:dyDescent="0.45">
      <c r="A62" s="5">
        <v>38</v>
      </c>
      <c r="B62" s="7"/>
      <c r="C62" s="7">
        <v>3</v>
      </c>
      <c r="D62" s="7">
        <v>3</v>
      </c>
    </row>
    <row r="63" spans="1:4" x14ac:dyDescent="0.45">
      <c r="A63" s="5">
        <v>39</v>
      </c>
      <c r="B63" s="7">
        <v>1</v>
      </c>
      <c r="C63" s="7">
        <v>4</v>
      </c>
      <c r="D63" s="7">
        <v>5</v>
      </c>
    </row>
    <row r="64" spans="1:4" x14ac:dyDescent="0.45">
      <c r="A64" s="5">
        <v>40</v>
      </c>
      <c r="B64" s="7"/>
      <c r="C64" s="7">
        <v>1</v>
      </c>
      <c r="D64" s="7">
        <v>1</v>
      </c>
    </row>
    <row r="65" spans="1:4" x14ac:dyDescent="0.45">
      <c r="A65" s="5">
        <v>46</v>
      </c>
      <c r="B65" s="7"/>
      <c r="C65" s="7">
        <v>1</v>
      </c>
      <c r="D65" s="7">
        <v>1</v>
      </c>
    </row>
    <row r="66" spans="1:4" x14ac:dyDescent="0.45">
      <c r="A66" s="5">
        <v>47</v>
      </c>
      <c r="B66" s="7"/>
      <c r="C66" s="7">
        <v>1</v>
      </c>
      <c r="D66" s="7">
        <v>1</v>
      </c>
    </row>
    <row r="67" spans="1:4" x14ac:dyDescent="0.45">
      <c r="A67" s="5">
        <v>48</v>
      </c>
      <c r="B67" s="7">
        <v>1</v>
      </c>
      <c r="C67" s="7"/>
      <c r="D67" s="7">
        <v>1</v>
      </c>
    </row>
    <row r="68" spans="1:4" x14ac:dyDescent="0.45">
      <c r="A68" s="5">
        <v>51</v>
      </c>
      <c r="B68" s="7">
        <v>1</v>
      </c>
      <c r="C68" s="7"/>
      <c r="D68" s="7">
        <v>1</v>
      </c>
    </row>
    <row r="69" spans="1:4" x14ac:dyDescent="0.45">
      <c r="A69" s="5">
        <v>53</v>
      </c>
      <c r="B69" s="7">
        <v>1</v>
      </c>
      <c r="C69" s="7"/>
      <c r="D69" s="7">
        <v>1</v>
      </c>
    </row>
    <row r="70" spans="1:4" x14ac:dyDescent="0.45">
      <c r="A70" s="5">
        <v>62</v>
      </c>
      <c r="B70" s="7">
        <v>1</v>
      </c>
      <c r="C70" s="7">
        <v>1</v>
      </c>
      <c r="D70" s="7">
        <v>2</v>
      </c>
    </row>
    <row r="71" spans="1:4" x14ac:dyDescent="0.45">
      <c r="A71" s="5">
        <v>63</v>
      </c>
      <c r="B71" s="7">
        <v>1</v>
      </c>
      <c r="C71" s="7"/>
      <c r="D71" s="7">
        <v>1</v>
      </c>
    </row>
    <row r="72" spans="1:4" x14ac:dyDescent="0.45">
      <c r="A72" s="5">
        <v>68</v>
      </c>
      <c r="B72" s="7">
        <v>1</v>
      </c>
      <c r="C72" s="7"/>
      <c r="D72" s="7">
        <v>1</v>
      </c>
    </row>
    <row r="73" spans="1:4" x14ac:dyDescent="0.45">
      <c r="A73" s="5" t="s">
        <v>43</v>
      </c>
      <c r="B73" s="7">
        <v>7</v>
      </c>
      <c r="C73" s="7">
        <v>13</v>
      </c>
      <c r="D73" s="7">
        <v>20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BF55-38FC-4719-8EC5-4BFFD3EF3EB9}">
  <dimension ref="A1:N1001"/>
  <sheetViews>
    <sheetView topLeftCell="F1" workbookViewId="0">
      <selection activeCell="M2" sqref="M2"/>
    </sheetView>
  </sheetViews>
  <sheetFormatPr defaultColWidth="11.86328125" defaultRowHeight="14.25" x14ac:dyDescent="0.45"/>
  <cols>
    <col min="1" max="1" width="15.265625" customWidth="1"/>
    <col min="2" max="2" width="13.796875" customWidth="1"/>
    <col min="4" max="4" width="14.796875" style="3" customWidth="1"/>
    <col min="5" max="5" width="17.73046875" customWidth="1"/>
    <col min="6" max="6" width="19.265625" customWidth="1"/>
    <col min="7" max="7" width="18.33203125" customWidth="1"/>
    <col min="8" max="8" width="14.06640625" customWidth="1"/>
    <col min="9" max="9" width="17.73046875" customWidth="1"/>
    <col min="10" max="10" width="16.53125" customWidth="1"/>
    <col min="11" max="11" width="13.9296875" customWidth="1"/>
    <col min="12" max="12" width="13.6640625" customWidth="1"/>
    <col min="13" max="13" width="19.53125" customWidth="1"/>
    <col min="14" max="14" width="15.46484375" customWidth="1"/>
  </cols>
  <sheetData>
    <row r="1" spans="1:14" x14ac:dyDescent="0.45">
      <c r="A1" t="s">
        <v>0</v>
      </c>
      <c r="B1" t="s">
        <v>1</v>
      </c>
      <c r="C1" t="s">
        <v>2</v>
      </c>
      <c r="D1" s="3" t="s">
        <v>3</v>
      </c>
      <c r="E1" t="s">
        <v>4</v>
      </c>
      <c r="F1" t="s">
        <v>5</v>
      </c>
      <c r="G1" t="s">
        <v>6</v>
      </c>
      <c r="H1" t="s">
        <v>7</v>
      </c>
      <c r="I1" t="s">
        <v>8</v>
      </c>
      <c r="J1" t="s">
        <v>9</v>
      </c>
      <c r="K1" t="s">
        <v>10</v>
      </c>
      <c r="L1" t="s">
        <v>11</v>
      </c>
      <c r="M1" t="s">
        <v>40</v>
      </c>
      <c r="N1" t="s">
        <v>12</v>
      </c>
    </row>
    <row r="2" spans="1:14" x14ac:dyDescent="0.45">
      <c r="A2">
        <v>12496</v>
      </c>
      <c r="B2" t="s">
        <v>36</v>
      </c>
      <c r="C2" t="s">
        <v>39</v>
      </c>
      <c r="D2" s="3">
        <v>40000</v>
      </c>
      <c r="E2">
        <v>1</v>
      </c>
      <c r="F2" t="s">
        <v>13</v>
      </c>
      <c r="G2" t="s">
        <v>14</v>
      </c>
      <c r="H2" t="s">
        <v>15</v>
      </c>
      <c r="I2">
        <v>0</v>
      </c>
      <c r="J2" t="s">
        <v>16</v>
      </c>
      <c r="K2" t="s">
        <v>17</v>
      </c>
      <c r="L2">
        <v>42</v>
      </c>
      <c r="M2" t="str">
        <f>IF(L2&gt;54, "Old", IF(L2&gt;=31, "Middle age", IF(L2&lt;31, "Adolescent", "Invalid")))</f>
        <v>Middle age</v>
      </c>
      <c r="N2" t="s">
        <v>18</v>
      </c>
    </row>
    <row r="3" spans="1:14" x14ac:dyDescent="0.45">
      <c r="A3">
        <v>24107</v>
      </c>
      <c r="B3" t="s">
        <v>36</v>
      </c>
      <c r="C3" t="s">
        <v>38</v>
      </c>
      <c r="D3" s="3">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45">
      <c r="A4">
        <v>14177</v>
      </c>
      <c r="B4" t="s">
        <v>36</v>
      </c>
      <c r="C4" t="s">
        <v>38</v>
      </c>
      <c r="D4" s="3">
        <v>80000</v>
      </c>
      <c r="E4">
        <v>5</v>
      </c>
      <c r="F4" t="s">
        <v>19</v>
      </c>
      <c r="G4" t="s">
        <v>21</v>
      </c>
      <c r="H4" t="s">
        <v>18</v>
      </c>
      <c r="I4">
        <v>2</v>
      </c>
      <c r="J4" t="s">
        <v>22</v>
      </c>
      <c r="K4" t="s">
        <v>17</v>
      </c>
      <c r="L4">
        <v>60</v>
      </c>
      <c r="M4" t="str">
        <f t="shared" si="0"/>
        <v>Old</v>
      </c>
      <c r="N4" t="s">
        <v>18</v>
      </c>
    </row>
    <row r="5" spans="1:14" x14ac:dyDescent="0.45">
      <c r="A5">
        <v>24381</v>
      </c>
      <c r="B5" t="s">
        <v>37</v>
      </c>
      <c r="C5" t="s">
        <v>38</v>
      </c>
      <c r="D5" s="3">
        <v>70000</v>
      </c>
      <c r="E5">
        <v>0</v>
      </c>
      <c r="F5" t="s">
        <v>13</v>
      </c>
      <c r="G5" t="s">
        <v>21</v>
      </c>
      <c r="H5" t="s">
        <v>15</v>
      </c>
      <c r="I5">
        <v>1</v>
      </c>
      <c r="J5" t="s">
        <v>23</v>
      </c>
      <c r="K5" t="s">
        <v>24</v>
      </c>
      <c r="L5">
        <v>41</v>
      </c>
      <c r="M5" t="str">
        <f t="shared" si="0"/>
        <v>Middle age</v>
      </c>
      <c r="N5" t="s">
        <v>15</v>
      </c>
    </row>
    <row r="6" spans="1:14" x14ac:dyDescent="0.45">
      <c r="A6">
        <v>25597</v>
      </c>
      <c r="B6" t="s">
        <v>37</v>
      </c>
      <c r="C6" t="s">
        <v>38</v>
      </c>
      <c r="D6" s="3">
        <v>30000</v>
      </c>
      <c r="E6">
        <v>0</v>
      </c>
      <c r="F6" t="s">
        <v>13</v>
      </c>
      <c r="G6" t="s">
        <v>20</v>
      </c>
      <c r="H6" t="s">
        <v>18</v>
      </c>
      <c r="I6">
        <v>0</v>
      </c>
      <c r="J6" t="s">
        <v>16</v>
      </c>
      <c r="K6" t="s">
        <v>17</v>
      </c>
      <c r="L6">
        <v>36</v>
      </c>
      <c r="M6" t="str">
        <f t="shared" si="0"/>
        <v>Middle age</v>
      </c>
      <c r="N6" t="s">
        <v>15</v>
      </c>
    </row>
    <row r="7" spans="1:14" x14ac:dyDescent="0.45">
      <c r="A7">
        <v>13507</v>
      </c>
      <c r="B7" t="s">
        <v>36</v>
      </c>
      <c r="C7" t="s">
        <v>39</v>
      </c>
      <c r="D7" s="3">
        <v>10000</v>
      </c>
      <c r="E7">
        <v>2</v>
      </c>
      <c r="F7" t="s">
        <v>19</v>
      </c>
      <c r="G7" t="s">
        <v>25</v>
      </c>
      <c r="H7" t="s">
        <v>15</v>
      </c>
      <c r="I7">
        <v>0</v>
      </c>
      <c r="J7" t="s">
        <v>26</v>
      </c>
      <c r="K7" t="s">
        <v>17</v>
      </c>
      <c r="L7">
        <v>50</v>
      </c>
      <c r="M7" t="str">
        <f t="shared" si="0"/>
        <v>Middle age</v>
      </c>
      <c r="N7" t="s">
        <v>18</v>
      </c>
    </row>
    <row r="8" spans="1:14" x14ac:dyDescent="0.45">
      <c r="A8">
        <v>27974</v>
      </c>
      <c r="B8" t="s">
        <v>37</v>
      </c>
      <c r="C8" t="s">
        <v>38</v>
      </c>
      <c r="D8" s="3">
        <v>160000</v>
      </c>
      <c r="E8">
        <v>2</v>
      </c>
      <c r="F8" t="s">
        <v>27</v>
      </c>
      <c r="G8" t="s">
        <v>28</v>
      </c>
      <c r="H8" t="s">
        <v>15</v>
      </c>
      <c r="I8">
        <v>4</v>
      </c>
      <c r="J8" t="s">
        <v>16</v>
      </c>
      <c r="K8" t="s">
        <v>24</v>
      </c>
      <c r="L8">
        <v>33</v>
      </c>
      <c r="M8" t="str">
        <f t="shared" si="0"/>
        <v>Middle age</v>
      </c>
      <c r="N8" t="s">
        <v>15</v>
      </c>
    </row>
    <row r="9" spans="1:14" x14ac:dyDescent="0.45">
      <c r="A9">
        <v>19364</v>
      </c>
      <c r="B9" t="s">
        <v>36</v>
      </c>
      <c r="C9" t="s">
        <v>38</v>
      </c>
      <c r="D9" s="3">
        <v>40000</v>
      </c>
      <c r="E9">
        <v>1</v>
      </c>
      <c r="F9" t="s">
        <v>13</v>
      </c>
      <c r="G9" t="s">
        <v>14</v>
      </c>
      <c r="H9" t="s">
        <v>15</v>
      </c>
      <c r="I9">
        <v>0</v>
      </c>
      <c r="J9" t="s">
        <v>16</v>
      </c>
      <c r="K9" t="s">
        <v>17</v>
      </c>
      <c r="L9">
        <v>43</v>
      </c>
      <c r="M9" t="str">
        <f t="shared" si="0"/>
        <v>Middle age</v>
      </c>
      <c r="N9" t="s">
        <v>15</v>
      </c>
    </row>
    <row r="10" spans="1:14" x14ac:dyDescent="0.4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4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4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4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4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4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4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4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4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4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4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4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4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4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4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4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4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4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4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4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4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4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4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4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4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4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4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4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4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4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4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4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4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4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4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4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4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4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4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4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4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4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4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4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4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4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4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45">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4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4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4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4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4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4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4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4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4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45">
      <c r="A67">
        <v>29337</v>
      </c>
      <c r="B67" t="s">
        <v>37</v>
      </c>
      <c r="C67" t="s">
        <v>38</v>
      </c>
      <c r="D67" s="3">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4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4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4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4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4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4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4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4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4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4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4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45">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4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4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4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4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4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4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4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4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4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4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4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4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4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4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4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4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4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4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4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4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4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4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4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4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4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4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4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4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4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4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4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4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4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4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4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4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4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4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4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4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4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4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4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4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4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4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4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4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4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4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4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45">
      <c r="A131">
        <v>26818</v>
      </c>
      <c r="B131" t="s">
        <v>37</v>
      </c>
      <c r="C131" t="s">
        <v>38</v>
      </c>
      <c r="D131" s="3">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4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4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4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4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4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4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4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4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4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4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4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4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4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4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4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4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4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4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4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4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4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4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4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4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4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4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4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4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4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4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4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4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4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4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4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4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4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4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4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4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4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4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4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4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4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4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4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4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4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4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4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4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4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4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4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4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4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4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4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4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4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4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4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45">
      <c r="A195">
        <v>26032</v>
      </c>
      <c r="B195" t="s">
        <v>36</v>
      </c>
      <c r="C195" t="s">
        <v>39</v>
      </c>
      <c r="D195" s="3">
        <v>70000</v>
      </c>
      <c r="E195">
        <v>5</v>
      </c>
      <c r="F195" t="s">
        <v>13</v>
      </c>
      <c r="G195" t="s">
        <v>21</v>
      </c>
      <c r="H195" t="s">
        <v>15</v>
      </c>
      <c r="I195">
        <v>4</v>
      </c>
      <c r="J195" t="s">
        <v>47</v>
      </c>
      <c r="K195" t="s">
        <v>24</v>
      </c>
      <c r="L195">
        <v>41</v>
      </c>
      <c r="M195" t="str">
        <f t="shared" ref="M195:M258" si="3">IF(L195&gt;54, "Old", IF(L195&gt;=31, "Middle age", IF(L195&lt;31, "Adolescent", "Invalid")))</f>
        <v>Middle age</v>
      </c>
      <c r="N195" t="s">
        <v>18</v>
      </c>
    </row>
    <row r="196" spans="1:14" x14ac:dyDescent="0.4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4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4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4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4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4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4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4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4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4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4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4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4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4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4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4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4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4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4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4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4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4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4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4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4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4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4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4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4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4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4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4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4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4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4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4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4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4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4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4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4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4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4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4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4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4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4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4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4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4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4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4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4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4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4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4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4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4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4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4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4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4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4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45">
      <c r="A259">
        <v>14164</v>
      </c>
      <c r="B259" t="s">
        <v>37</v>
      </c>
      <c r="C259" t="s">
        <v>39</v>
      </c>
      <c r="D259" s="3">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4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4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4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4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4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4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4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4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4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4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4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4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4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4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4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4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4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4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4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4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4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4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4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4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4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4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4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4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4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4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4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4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4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4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4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4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4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4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4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4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4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4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4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4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4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4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4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4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4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4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4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4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4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4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4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4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4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4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4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4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45">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4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4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45">
      <c r="A323">
        <v>16675</v>
      </c>
      <c r="B323" t="s">
        <v>37</v>
      </c>
      <c r="C323" t="s">
        <v>39</v>
      </c>
      <c r="D323" s="3">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4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4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4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4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4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4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4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4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4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4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4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4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4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4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4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4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4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4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4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4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4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4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4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4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4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4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4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4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4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4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4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4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4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4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4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4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4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45">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4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4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4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4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4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4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4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4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4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4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4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4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4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4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4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4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4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4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4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4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45">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4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4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4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4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45">
      <c r="A387">
        <v>18018</v>
      </c>
      <c r="B387" t="s">
        <v>37</v>
      </c>
      <c r="C387" t="s">
        <v>38</v>
      </c>
      <c r="D387" s="3">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4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4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4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4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4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4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4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4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4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4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4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4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4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4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4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4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4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4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4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4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4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4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4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4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4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4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4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4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4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4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4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4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4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4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4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4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4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4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4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4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4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4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4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4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4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4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4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4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4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4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4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4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4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4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4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4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4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4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4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4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4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4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4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45">
      <c r="A451">
        <v>12497</v>
      </c>
      <c r="B451" t="s">
        <v>36</v>
      </c>
      <c r="C451" t="s">
        <v>39</v>
      </c>
      <c r="D451" s="3">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4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4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4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4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4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4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4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4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4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4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4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4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4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4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4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4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4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4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4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4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4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4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4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4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4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4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4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4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4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4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4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4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4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4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4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4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4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4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4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4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4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4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4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4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4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4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4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4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4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4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4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4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4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4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4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4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4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4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4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4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4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4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4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45">
      <c r="A515">
        <v>13353</v>
      </c>
      <c r="B515" t="s">
        <v>37</v>
      </c>
      <c r="C515" t="s">
        <v>39</v>
      </c>
      <c r="D515" s="3">
        <v>60000</v>
      </c>
      <c r="E515">
        <v>4</v>
      </c>
      <c r="F515" t="s">
        <v>31</v>
      </c>
      <c r="G515" t="s">
        <v>28</v>
      </c>
      <c r="H515" t="s">
        <v>15</v>
      </c>
      <c r="I515">
        <v>2</v>
      </c>
      <c r="J515" t="s">
        <v>47</v>
      </c>
      <c r="K515" t="s">
        <v>32</v>
      </c>
      <c r="L515">
        <v>61</v>
      </c>
      <c r="M515" t="str">
        <f t="shared" ref="M515:M578" si="8">IF(L515&gt;54, "Old", IF(L515&gt;=31, "Middle age", IF(L515&lt;31, "Adolescent", "Invalid")))</f>
        <v>Old</v>
      </c>
      <c r="N515" t="s">
        <v>15</v>
      </c>
    </row>
    <row r="516" spans="1:14" x14ac:dyDescent="0.4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4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4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4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4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4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4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4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4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4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4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4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4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4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4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4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4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4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4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4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4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4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4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4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4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4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4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4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4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4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4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4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4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4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4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4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4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4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45">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4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4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4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4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4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4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4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4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4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4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4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4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4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4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4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4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4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4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4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4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4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4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4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4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45">
      <c r="A579">
        <v>16917</v>
      </c>
      <c r="B579" t="s">
        <v>36</v>
      </c>
      <c r="C579" t="s">
        <v>38</v>
      </c>
      <c r="D579" s="3">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4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4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4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4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4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4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4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4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4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4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4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4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4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4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4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4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4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4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4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4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4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4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4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4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4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4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4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4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4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4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4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4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4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4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4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4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4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4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4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4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4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4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4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4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4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4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4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4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4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4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4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4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4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4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4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4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4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4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4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4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4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4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4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45">
      <c r="A643">
        <v>21441</v>
      </c>
      <c r="B643" t="s">
        <v>36</v>
      </c>
      <c r="C643" t="s">
        <v>38</v>
      </c>
      <c r="D643" s="3">
        <v>50000</v>
      </c>
      <c r="E643">
        <v>4</v>
      </c>
      <c r="F643" t="s">
        <v>13</v>
      </c>
      <c r="G643" t="s">
        <v>28</v>
      </c>
      <c r="H643" t="s">
        <v>15</v>
      </c>
      <c r="I643">
        <v>2</v>
      </c>
      <c r="J643" t="s">
        <v>47</v>
      </c>
      <c r="K643" t="s">
        <v>32</v>
      </c>
      <c r="L643">
        <v>64</v>
      </c>
      <c r="M643" t="str">
        <f t="shared" ref="M643:M706" si="10">IF(L643&gt;54, "Old", IF(L643&gt;=31, "Middle age", IF(L643&lt;31, "Adolescent", "Invalid")))</f>
        <v>Old</v>
      </c>
      <c r="N643" t="s">
        <v>18</v>
      </c>
    </row>
    <row r="644" spans="1:14" x14ac:dyDescent="0.4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4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4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4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4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4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4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4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4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4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4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4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4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4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4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4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4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4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4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4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4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4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4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4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4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4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4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4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4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4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4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4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4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4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4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4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4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4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4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4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4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4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4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4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4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4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4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4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4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4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4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4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4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4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4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4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4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4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4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4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4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4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4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45">
      <c r="A707">
        <v>11199</v>
      </c>
      <c r="B707" t="s">
        <v>36</v>
      </c>
      <c r="C707" t="s">
        <v>39</v>
      </c>
      <c r="D707" s="3">
        <v>70000</v>
      </c>
      <c r="E707">
        <v>4</v>
      </c>
      <c r="F707" t="s">
        <v>13</v>
      </c>
      <c r="G707" t="s">
        <v>28</v>
      </c>
      <c r="H707" t="s">
        <v>15</v>
      </c>
      <c r="I707">
        <v>1</v>
      </c>
      <c r="J707" t="s">
        <v>47</v>
      </c>
      <c r="K707" t="s">
        <v>32</v>
      </c>
      <c r="L707">
        <v>59</v>
      </c>
      <c r="M707" t="str">
        <f t="shared" ref="M707:M770" si="11">IF(L707&gt;54, "Old", IF(L707&gt;=31, "Middle age", IF(L707&lt;31, "Adolescent", "Invalid")))</f>
        <v>Old</v>
      </c>
      <c r="N707" t="s">
        <v>18</v>
      </c>
    </row>
    <row r="708" spans="1:14" x14ac:dyDescent="0.4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4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4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4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4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4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4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4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4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4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4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4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4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4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4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4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4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4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4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4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4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4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4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4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4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4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4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4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4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4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4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4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4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4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4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4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4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4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4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4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4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4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4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4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4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4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4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4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4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4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4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4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4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4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4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4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4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4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4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4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45">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4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4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45">
      <c r="A771">
        <v>18952</v>
      </c>
      <c r="B771" t="s">
        <v>36</v>
      </c>
      <c r="C771" t="s">
        <v>39</v>
      </c>
      <c r="D771" s="3">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4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4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4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4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4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45">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4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4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4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4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4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4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4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4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4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4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4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4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4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4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4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4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4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4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4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4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4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4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4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4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4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4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4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4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4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4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4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4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4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4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4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4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4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4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4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4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4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4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4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4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4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4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4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4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4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4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4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4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4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4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4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4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4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45">
      <c r="A835">
        <v>27540</v>
      </c>
      <c r="B835" t="s">
        <v>37</v>
      </c>
      <c r="C835" t="s">
        <v>39</v>
      </c>
      <c r="D835" s="3">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4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4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4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4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4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4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45">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4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4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4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4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4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4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4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4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4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4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4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4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4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4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4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4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4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4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4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4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4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4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4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4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4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45">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4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4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4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4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45">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4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4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4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4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4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4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4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4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4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4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4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4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4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4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4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4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4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4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4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4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4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4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4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4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4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45">
      <c r="A899">
        <v>12029</v>
      </c>
      <c r="B899" t="s">
        <v>36</v>
      </c>
      <c r="C899" t="s">
        <v>38</v>
      </c>
      <c r="D899" s="3">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4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4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4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4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4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4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4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4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4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4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4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4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4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4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4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4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4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4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4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4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4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4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4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4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4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4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4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4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4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4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4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4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45">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4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4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4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4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4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4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4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4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4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4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4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4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4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4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4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4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4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4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45">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4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4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4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4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4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4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4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4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4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4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4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45">
      <c r="A963">
        <v>16651</v>
      </c>
      <c r="B963" t="s">
        <v>36</v>
      </c>
      <c r="C963" t="s">
        <v>39</v>
      </c>
      <c r="D963" s="3">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45">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4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4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4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4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4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4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4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4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4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4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4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4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4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4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4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4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4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4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4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4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4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4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4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4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4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4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45">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4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4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4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4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4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4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4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4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4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45">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CB1FBF55-38FC-4719-8EC5-4BFFD3EF3EB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ДАРЬЯ ИВАЙКИНА</dc:creator>
  <cp:lastModifiedBy>ДАРЬЯ ИВАЙКИНА</cp:lastModifiedBy>
  <dcterms:created xsi:type="dcterms:W3CDTF">2022-03-18T02:50:57Z</dcterms:created>
  <dcterms:modified xsi:type="dcterms:W3CDTF">2026-04-11T12:03:09Z</dcterms:modified>
</cp:coreProperties>
</file>